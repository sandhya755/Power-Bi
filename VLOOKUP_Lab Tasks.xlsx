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vva\OneDrive\Desktop\"/>
    </mc:Choice>
  </mc:AlternateContent>
  <xr:revisionPtr revIDLastSave="0" documentId="13_ncr:1_{6A9BC73B-6CBA-4B5E-BEB4-FD8AD8E19893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Products" sheetId="1" r:id="rId1"/>
    <sheet name="Orders" sheetId="2" r:id="rId2"/>
    <sheet name="Q1_ProductName" sheetId="3" r:id="rId3"/>
    <sheet name="Q2_TotalPrice" sheetId="4" r:id="rId4"/>
    <sheet name="Q3_CheckID" sheetId="5" r:id="rId5"/>
    <sheet name="Q4_Discount" sheetId="6" r:id="rId6"/>
    <sheet name="Q5_MaxOrder" sheetId="7" r:id="rId7"/>
    <sheet name="Q6_NotOrdered" sheetId="8" r:id="rId8"/>
    <sheet name="Q7_TotalQt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9" l="1"/>
  <c r="A7" i="9"/>
  <c r="C7" i="9" s="1"/>
  <c r="B6" i="9"/>
  <c r="A6" i="9"/>
  <c r="C6" i="9" s="1"/>
  <c r="C5" i="9"/>
  <c r="B5" i="9"/>
  <c r="A5" i="9"/>
  <c r="C4" i="9"/>
  <c r="B4" i="9"/>
  <c r="A4" i="9"/>
  <c r="B3" i="9"/>
  <c r="A3" i="9"/>
  <c r="C3" i="9" s="1"/>
  <c r="B2" i="9"/>
  <c r="A2" i="9"/>
  <c r="C2" i="9" s="1"/>
  <c r="B7" i="8"/>
  <c r="A7" i="8"/>
  <c r="A6" i="8"/>
  <c r="B6" i="8" s="1"/>
  <c r="A5" i="8"/>
  <c r="B5" i="8" s="1"/>
  <c r="A4" i="8"/>
  <c r="B4" i="8" s="1"/>
  <c r="A3" i="8"/>
  <c r="B3" i="8" s="1"/>
  <c r="A2" i="8"/>
  <c r="B2" i="8" s="1"/>
  <c r="A7" i="7"/>
  <c r="B7" i="7" s="1"/>
  <c r="A6" i="7"/>
  <c r="B6" i="7" s="1"/>
  <c r="A5" i="7"/>
  <c r="B5" i="7" s="1"/>
  <c r="A4" i="7"/>
  <c r="B4" i="7" s="1"/>
  <c r="A3" i="7"/>
  <c r="B3" i="7" s="1"/>
  <c r="A2" i="7"/>
  <c r="B2" i="7" s="1"/>
  <c r="A7" i="6"/>
  <c r="B7" i="6" s="1"/>
  <c r="C7" i="6" s="1"/>
  <c r="A6" i="6"/>
  <c r="B6" i="6" s="1"/>
  <c r="C6" i="6" s="1"/>
  <c r="A5" i="6"/>
  <c r="B5" i="6" s="1"/>
  <c r="C5" i="6" s="1"/>
  <c r="A4" i="6"/>
  <c r="B4" i="6" s="1"/>
  <c r="C4" i="6" s="1"/>
  <c r="A3" i="6"/>
  <c r="B3" i="6" s="1"/>
  <c r="C3" i="6" s="1"/>
  <c r="A2" i="6"/>
  <c r="B2" i="6" s="1"/>
  <c r="C2" i="6" s="1"/>
  <c r="A7" i="5"/>
  <c r="B7" i="5" s="1"/>
  <c r="A6" i="5"/>
  <c r="B6" i="5" s="1"/>
  <c r="A5" i="5"/>
  <c r="B5" i="5" s="1"/>
  <c r="A4" i="5"/>
  <c r="B4" i="5" s="1"/>
  <c r="A3" i="5"/>
  <c r="B3" i="5" s="1"/>
  <c r="A2" i="5"/>
  <c r="B2" i="5" s="1"/>
  <c r="C7" i="4"/>
  <c r="B7" i="4"/>
  <c r="D7" i="4" s="1"/>
  <c r="A7" i="4"/>
  <c r="C6" i="4"/>
  <c r="E6" i="4" s="1"/>
  <c r="B6" i="4"/>
  <c r="D6" i="4" s="1"/>
  <c r="A6" i="4"/>
  <c r="C5" i="4"/>
  <c r="B5" i="4"/>
  <c r="D5" i="4" s="1"/>
  <c r="A5" i="4"/>
  <c r="C4" i="4"/>
  <c r="B4" i="4"/>
  <c r="D4" i="4" s="1"/>
  <c r="A4" i="4"/>
  <c r="D3" i="4"/>
  <c r="E3" i="4" s="1"/>
  <c r="C3" i="4"/>
  <c r="B3" i="4"/>
  <c r="A3" i="4"/>
  <c r="C2" i="4"/>
  <c r="B2" i="4"/>
  <c r="D2" i="4" s="1"/>
  <c r="A2" i="4"/>
  <c r="C7" i="3"/>
  <c r="B7" i="3"/>
  <c r="D7" i="3" s="1"/>
  <c r="A7" i="3"/>
  <c r="C6" i="3"/>
  <c r="B6" i="3"/>
  <c r="D6" i="3" s="1"/>
  <c r="A6" i="3"/>
  <c r="C5" i="3"/>
  <c r="B5" i="3"/>
  <c r="D5" i="3" s="1"/>
  <c r="A5" i="3"/>
  <c r="C4" i="3"/>
  <c r="B4" i="3"/>
  <c r="D4" i="3" s="1"/>
  <c r="A4" i="3"/>
  <c r="C3" i="3"/>
  <c r="B3" i="3"/>
  <c r="D3" i="3" s="1"/>
  <c r="A3" i="3"/>
  <c r="C2" i="3"/>
  <c r="B2" i="3"/>
  <c r="D2" i="3" s="1"/>
  <c r="A2" i="3"/>
  <c r="E2" i="4" l="1"/>
  <c r="E5" i="4"/>
  <c r="E7" i="4"/>
  <c r="B8" i="7"/>
  <c r="E4" i="4"/>
</calcChain>
</file>

<file path=xl/sharedStrings.xml><?xml version="1.0" encoding="utf-8"?>
<sst xmlns="http://schemas.openxmlformats.org/spreadsheetml/2006/main" count="34" uniqueCount="18">
  <si>
    <t>ProductID</t>
  </si>
  <si>
    <t>Product Name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</si>
  <si>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</si>
  <si>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</si>
  <si>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</si>
  <si>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</si>
  <si>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</si>
  <si>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</si>
  <si>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</si>
  <si>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</si>
  <si>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</si>
  <si>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TotalPrice</t>
  </si>
  <si>
    <t>Status</t>
  </si>
  <si>
    <t>Original Price</t>
  </si>
  <si>
    <t>Discounted Price</t>
  </si>
  <si>
    <t>Order Value</t>
  </si>
  <si>
    <t>Maximum Order Value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</si>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</sst>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2" fillId="12" borderId="0" xfId="0" applyFont="1" applyFill="1"/>
    <xf numFmtId="0" fontId="1" fillId="13" borderId="0" xfId="0" applyFont="1" applyFill="1"/>
    <xf numFmtId="0" fontId="2" fillId="8" borderId="0" xfId="0" applyFont="1" applyFill="1"/>
    <xf numFmtId="0" fontId="1" fillId="1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1" sqref="B1"/>
    </sheetView>
  </sheetViews>
  <sheetFormatPr defaultRowHeight="14.5" x14ac:dyDescent="0.35"/>
  <cols>
    <col min="1" max="1" width="22.08984375" customWidth="1"/>
    <col min="2" max="2" width="26.26953125" customWidth="1"/>
    <col min="3" max="3" width="13.453125" customWidth="1"/>
  </cols>
  <sheetData>
    <row r="1" spans="1:3" ht="20" x14ac:dyDescent="0.4">
      <c r="A1" s="2" t="s">
        <v>0</v>
      </c>
      <c r="B1" s="2" t="s">
        <v>1</v>
      </c>
      <c r="C1" s="2" t="s">
        <v>2</v>
      </c>
    </row>
    <row r="2" spans="1:3" ht="20.5" x14ac:dyDescent="0.45">
      <c r="A2" s="3">
        <v>101</v>
      </c>
      <c r="B2" s="3" t="s">
        <v>3</v>
      </c>
      <c r="C2" s="3">
        <v>120</v>
      </c>
    </row>
    <row r="3" spans="1:3" ht="20.5" x14ac:dyDescent="0.45">
      <c r="A3" s="3">
        <v>102</v>
      </c>
      <c r="B3" s="3" t="s">
        <v>4</v>
      </c>
      <c r="C3" s="3">
        <v>150</v>
      </c>
    </row>
    <row r="4" spans="1:3" ht="20.5" x14ac:dyDescent="0.45">
      <c r="A4" s="3">
        <v>103</v>
      </c>
      <c r="B4" s="3" t="s">
        <v>5</v>
      </c>
      <c r="C4" s="3">
        <v>200</v>
      </c>
    </row>
    <row r="5" spans="1:3" ht="20.5" x14ac:dyDescent="0.45">
      <c r="A5" s="3">
        <v>104</v>
      </c>
      <c r="B5" s="3" t="s">
        <v>6</v>
      </c>
      <c r="C5" s="3">
        <v>90</v>
      </c>
    </row>
    <row r="6" spans="1:3" ht="20.5" x14ac:dyDescent="0.45">
      <c r="A6" s="3">
        <v>105</v>
      </c>
      <c r="B6" s="3" t="s">
        <v>7</v>
      </c>
      <c r="C6" s="3">
        <v>220</v>
      </c>
    </row>
    <row r="7" spans="1:3" ht="20.5" x14ac:dyDescent="0.45">
      <c r="A7" s="3">
        <v>106</v>
      </c>
      <c r="B7" s="3" t="s">
        <v>8</v>
      </c>
      <c r="C7" s="3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10" sqref="C10"/>
    </sheetView>
  </sheetViews>
  <sheetFormatPr defaultRowHeight="14.5" x14ac:dyDescent="0.35"/>
  <cols>
    <col min="1" max="1" width="14" customWidth="1"/>
    <col min="2" max="2" width="22.54296875" customWidth="1"/>
    <col min="3" max="3" width="16.81640625" customWidth="1"/>
  </cols>
  <sheetData>
    <row r="1" spans="1:3" ht="20" x14ac:dyDescent="0.4">
      <c r="A1" s="4" t="s">
        <v>9</v>
      </c>
      <c r="B1" s="4" t="s">
        <v>0</v>
      </c>
      <c r="C1" s="4" t="s">
        <v>10</v>
      </c>
    </row>
    <row r="2" spans="1:3" ht="20.5" x14ac:dyDescent="0.45">
      <c r="A2" s="5">
        <v>1</v>
      </c>
      <c r="B2" s="5">
        <v>101</v>
      </c>
      <c r="C2" s="5">
        <v>2</v>
      </c>
    </row>
    <row r="3" spans="1:3" ht="20.5" x14ac:dyDescent="0.45">
      <c r="A3" s="5">
        <v>2</v>
      </c>
      <c r="B3" s="5">
        <v>103</v>
      </c>
      <c r="C3" s="5">
        <v>1</v>
      </c>
    </row>
    <row r="4" spans="1:3" ht="20.5" x14ac:dyDescent="0.45">
      <c r="A4" s="5">
        <v>3</v>
      </c>
      <c r="B4" s="5">
        <v>105</v>
      </c>
      <c r="C4" s="5">
        <v>4</v>
      </c>
    </row>
    <row r="5" spans="1:3" ht="20.5" x14ac:dyDescent="0.45">
      <c r="A5" s="5">
        <v>4</v>
      </c>
      <c r="B5" s="5">
        <v>106</v>
      </c>
      <c r="C5" s="5">
        <v>3</v>
      </c>
    </row>
    <row r="6" spans="1:3" ht="20.5" x14ac:dyDescent="0.45">
      <c r="A6" s="5">
        <v>5</v>
      </c>
      <c r="B6" s="5">
        <v>102</v>
      </c>
      <c r="C6" s="5">
        <v>5</v>
      </c>
    </row>
    <row r="7" spans="1:3" ht="20.5" x14ac:dyDescent="0.45">
      <c r="A7" s="5">
        <v>6</v>
      </c>
      <c r="B7" s="5">
        <v>104</v>
      </c>
      <c r="C7" s="5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2" sqref="A2:D7"/>
    </sheetView>
  </sheetViews>
  <sheetFormatPr defaultRowHeight="14.5" x14ac:dyDescent="0.35"/>
  <cols>
    <col min="1" max="1" width="20" customWidth="1"/>
    <col min="2" max="2" width="14.6328125" customWidth="1"/>
    <col min="3" max="3" width="17.453125" customWidth="1"/>
    <col min="4" max="4" width="21" customWidth="1"/>
  </cols>
  <sheetData>
    <row r="1" spans="1:4" ht="20.5" x14ac:dyDescent="0.45">
      <c r="A1" s="6" t="s">
        <v>9</v>
      </c>
      <c r="B1" s="6" t="s">
        <v>0</v>
      </c>
      <c r="C1" s="6" t="s">
        <v>10</v>
      </c>
      <c r="D1" s="6" t="s">
        <v>1</v>
      </c>
    </row>
    <row r="2" spans="1:4" ht="20.5" x14ac:dyDescent="0.45">
      <c r="A2" s="7">
        <f>Orders!A2</f>
        <v>1</v>
      </c>
      <c r="B2" s="7">
        <f>Orders!B2</f>
        <v>101</v>
      </c>
      <c r="C2" s="7">
        <f>Orders!C2</f>
        <v>2</v>
      </c>
      <c r="D2" s="7" t="str">
        <f>VLOOKUP(B2,Products!A:C,2,FALSE)</f>
        <v>Product A</v>
      </c>
    </row>
    <row r="3" spans="1:4" ht="20.5" x14ac:dyDescent="0.45">
      <c r="A3" s="7">
        <f>Orders!A3</f>
        <v>2</v>
      </c>
      <c r="B3" s="7">
        <f>Orders!B3</f>
        <v>103</v>
      </c>
      <c r="C3" s="7">
        <f>Orders!C3</f>
        <v>1</v>
      </c>
      <c r="D3" s="7" t="str">
        <f>VLOOKUP(B3,Products!A:C,2,FALSE)</f>
        <v>Product C</v>
      </c>
    </row>
    <row r="4" spans="1:4" ht="20.5" x14ac:dyDescent="0.45">
      <c r="A4" s="7">
        <f>Orders!A4</f>
        <v>3</v>
      </c>
      <c r="B4" s="7">
        <f>Orders!B4</f>
        <v>105</v>
      </c>
      <c r="C4" s="7">
        <f>Orders!C4</f>
        <v>4</v>
      </c>
      <c r="D4" s="7" t="str">
        <f>VLOOKUP(B4,Products!A:C,2,FALSE)</f>
        <v>Product E</v>
      </c>
    </row>
    <row r="5" spans="1:4" ht="20.5" x14ac:dyDescent="0.45">
      <c r="A5" s="7">
        <f>Orders!A5</f>
        <v>4</v>
      </c>
      <c r="B5" s="7">
        <f>Orders!B5</f>
        <v>106</v>
      </c>
      <c r="C5" s="7">
        <f>Orders!C5</f>
        <v>3</v>
      </c>
      <c r="D5" s="7" t="str">
        <f>VLOOKUP(B5,Products!A:C,2,FALSE)</f>
        <v>Product F</v>
      </c>
    </row>
    <row r="6" spans="1:4" ht="20.5" x14ac:dyDescent="0.45">
      <c r="A6" s="7">
        <f>Orders!A6</f>
        <v>5</v>
      </c>
      <c r="B6" s="7">
        <f>Orders!B6</f>
        <v>102</v>
      </c>
      <c r="C6" s="7">
        <f>Orders!C6</f>
        <v>5</v>
      </c>
      <c r="D6" s="7" t="str">
        <f>VLOOKUP(B6,Products!A:C,2,FALSE)</f>
        <v>Product B</v>
      </c>
    </row>
    <row r="7" spans="1:4" ht="20.5" x14ac:dyDescent="0.45">
      <c r="A7" s="7">
        <f>Orders!A7</f>
        <v>6</v>
      </c>
      <c r="B7" s="7">
        <f>Orders!B7</f>
        <v>104</v>
      </c>
      <c r="C7" s="7">
        <f>Orders!C7</f>
        <v>6</v>
      </c>
      <c r="D7" s="7" t="str">
        <f>VLOOKUP(B7,Products!A:C,2,FALSE)</f>
        <v>Product D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E4" sqref="E4"/>
    </sheetView>
  </sheetViews>
  <sheetFormatPr defaultRowHeight="14.5" x14ac:dyDescent="0.35"/>
  <cols>
    <col min="1" max="1" width="18.1796875" customWidth="1"/>
    <col min="2" max="2" width="16.26953125" customWidth="1"/>
    <col min="3" max="3" width="12.90625" customWidth="1"/>
    <col min="4" max="4" width="13.36328125" customWidth="1"/>
    <col min="5" max="5" width="16.6328125" customWidth="1"/>
  </cols>
  <sheetData>
    <row r="1" spans="1:5" ht="20.5" x14ac:dyDescent="0.45">
      <c r="A1" s="8" t="s">
        <v>9</v>
      </c>
      <c r="B1" s="8" t="s">
        <v>0</v>
      </c>
      <c r="C1" s="8" t="s">
        <v>10</v>
      </c>
      <c r="D1" s="8" t="s">
        <v>2</v>
      </c>
      <c r="E1" s="8" t="s">
        <v>11</v>
      </c>
    </row>
    <row r="2" spans="1:5" ht="20.5" x14ac:dyDescent="0.45">
      <c r="A2" s="9">
        <f>Orders!A2</f>
        <v>1</v>
      </c>
      <c r="B2" s="9">
        <f>Orders!B2</f>
        <v>101</v>
      </c>
      <c r="C2" s="9">
        <f>Orders!C2</f>
        <v>2</v>
      </c>
      <c r="D2" s="9">
        <f>VLOOKUP(B2,Products!A:C,3,FALSE)</f>
        <v>120</v>
      </c>
      <c r="E2" s="9">
        <f t="shared" ref="E2:E7" si="0">C2*D2</f>
        <v>240</v>
      </c>
    </row>
    <row r="3" spans="1:5" ht="20.5" x14ac:dyDescent="0.45">
      <c r="A3" s="9">
        <f>Orders!A3</f>
        <v>2</v>
      </c>
      <c r="B3" s="9">
        <f>Orders!B3</f>
        <v>103</v>
      </c>
      <c r="C3" s="9">
        <f>Orders!C3</f>
        <v>1</v>
      </c>
      <c r="D3" s="9">
        <f>VLOOKUP(B3,Products!A:C,3,FALSE)</f>
        <v>200</v>
      </c>
      <c r="E3" s="9">
        <f t="shared" si="0"/>
        <v>200</v>
      </c>
    </row>
    <row r="4" spans="1:5" ht="20.5" x14ac:dyDescent="0.45">
      <c r="A4" s="9">
        <f>Orders!A4</f>
        <v>3</v>
      </c>
      <c r="B4" s="9">
        <f>Orders!B4</f>
        <v>105</v>
      </c>
      <c r="C4" s="9">
        <f>Orders!C4</f>
        <v>4</v>
      </c>
      <c r="D4" s="9">
        <f>VLOOKUP(B4,Products!A:C,3,FALSE)</f>
        <v>220</v>
      </c>
      <c r="E4" s="9">
        <f t="shared" si="0"/>
        <v>880</v>
      </c>
    </row>
    <row r="5" spans="1:5" ht="20.5" x14ac:dyDescent="0.45">
      <c r="A5" s="9">
        <f>Orders!A5</f>
        <v>4</v>
      </c>
      <c r="B5" s="9">
        <f>Orders!B5</f>
        <v>106</v>
      </c>
      <c r="C5" s="9">
        <f>Orders!C5</f>
        <v>3</v>
      </c>
      <c r="D5" s="9">
        <f>VLOOKUP(B5,Products!A:C,3,FALSE)</f>
        <v>130</v>
      </c>
      <c r="E5" s="9">
        <f t="shared" si="0"/>
        <v>390</v>
      </c>
    </row>
    <row r="6" spans="1:5" ht="20.5" x14ac:dyDescent="0.45">
      <c r="A6" s="9">
        <f>Orders!A6</f>
        <v>5</v>
      </c>
      <c r="B6" s="9">
        <f>Orders!B6</f>
        <v>102</v>
      </c>
      <c r="C6" s="9">
        <f>Orders!C6</f>
        <v>5</v>
      </c>
      <c r="D6" s="9">
        <f>VLOOKUP(B6,Products!A:C,3,FALSE)</f>
        <v>150</v>
      </c>
      <c r="E6" s="9">
        <f t="shared" si="0"/>
        <v>750</v>
      </c>
    </row>
    <row r="7" spans="1:5" ht="20.5" x14ac:dyDescent="0.45">
      <c r="A7" s="9">
        <f>Orders!A7</f>
        <v>6</v>
      </c>
      <c r="B7" s="9">
        <f>Orders!B7</f>
        <v>104</v>
      </c>
      <c r="C7" s="9">
        <f>Orders!C7</f>
        <v>6</v>
      </c>
      <c r="D7" s="9">
        <f>VLOOKUP(B7,Products!A:C,3,FALSE)</f>
        <v>90</v>
      </c>
      <c r="E7" s="9">
        <f t="shared" si="0"/>
        <v>540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6" sqref="B6"/>
    </sheetView>
  </sheetViews>
  <sheetFormatPr defaultRowHeight="14.5" x14ac:dyDescent="0.35"/>
  <cols>
    <col min="1" max="1" width="22.453125" customWidth="1"/>
    <col min="2" max="2" width="22.08984375" customWidth="1"/>
  </cols>
  <sheetData>
    <row r="1" spans="1:2" ht="20.5" x14ac:dyDescent="0.45">
      <c r="A1" s="10" t="s">
        <v>0</v>
      </c>
      <c r="B1" s="10" t="s">
        <v>12</v>
      </c>
    </row>
    <row r="2" spans="1:2" ht="20.5" x14ac:dyDescent="0.45">
      <c r="A2" s="11">
        <f>Orders!B2</f>
        <v>101</v>
      </c>
      <c r="B2" s="11" t="str">
        <f>IF(ISNA(VLOOKUP(A2,Products!A:A,1,FALSE)),"Not Found","Found")</f>
        <v>Found</v>
      </c>
    </row>
    <row r="3" spans="1:2" ht="20.5" x14ac:dyDescent="0.45">
      <c r="A3" s="11">
        <f>Orders!B3</f>
        <v>103</v>
      </c>
      <c r="B3" s="11" t="str">
        <f>IF(ISNA(VLOOKUP(A3,Products!A:A,1,FALSE)),"Not Found","Found")</f>
        <v>Found</v>
      </c>
    </row>
    <row r="4" spans="1:2" ht="20.5" x14ac:dyDescent="0.45">
      <c r="A4" s="11">
        <f>Orders!B4</f>
        <v>105</v>
      </c>
      <c r="B4" s="11" t="str">
        <f>IF(ISNA(VLOOKUP(A4,Products!A:A,1,FALSE)),"Not Found","Found")</f>
        <v>Found</v>
      </c>
    </row>
    <row r="5" spans="1:2" ht="20.5" x14ac:dyDescent="0.45">
      <c r="A5" s="11">
        <f>Orders!B5</f>
        <v>106</v>
      </c>
      <c r="B5" s="11" t="str">
        <f>IF(ISNA(VLOOKUP(A5,Products!A:A,1,FALSE)),"Not Found","Found")</f>
        <v>Found</v>
      </c>
    </row>
    <row r="6" spans="1:2" ht="20.5" x14ac:dyDescent="0.45">
      <c r="A6" s="11">
        <f>Orders!B6</f>
        <v>102</v>
      </c>
      <c r="B6" s="11" t="str">
        <f>IF(ISNA(VLOOKUP(A6,Products!A:A,1,FALSE)),"Not Found","Found")</f>
        <v>Found</v>
      </c>
    </row>
    <row r="7" spans="1:2" ht="20.5" x14ac:dyDescent="0.45">
      <c r="A7" s="11">
        <f>Orders!B7</f>
        <v>104</v>
      </c>
      <c r="B7" s="11" t="str">
        <f>IF(ISNA(VLOOKUP(A7,Products!A:A,1,FALSE)),"Not Found","Found")</f>
        <v>Found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tabSelected="1" workbookViewId="0">
      <selection activeCell="C6" sqref="C6"/>
    </sheetView>
  </sheetViews>
  <sheetFormatPr defaultRowHeight="14.5" x14ac:dyDescent="0.35"/>
  <cols>
    <col min="1" max="1" width="19.81640625" customWidth="1"/>
    <col min="2" max="2" width="17.81640625" customWidth="1"/>
    <col min="3" max="3" width="25.26953125" customWidth="1"/>
  </cols>
  <sheetData>
    <row r="1" spans="1:4" ht="20.5" x14ac:dyDescent="0.45">
      <c r="A1" s="12" t="s">
        <v>0</v>
      </c>
      <c r="B1" s="12" t="s">
        <v>13</v>
      </c>
      <c r="C1" s="12" t="s">
        <v>14</v>
      </c>
      <c r="D1" s="1"/>
    </row>
    <row r="2" spans="1:4" ht="20.5" x14ac:dyDescent="0.45">
      <c r="A2" s="7">
        <f>Orders!B2</f>
        <v>101</v>
      </c>
      <c r="B2" s="7">
        <f>VLOOKUP(A2,Products!A:C,3,FALSE)</f>
        <v>120</v>
      </c>
      <c r="C2" s="7">
        <f t="shared" ref="C2:C7" si="0">B2*0.9</f>
        <v>108</v>
      </c>
      <c r="D2" s="1"/>
    </row>
    <row r="3" spans="1:4" ht="20.5" x14ac:dyDescent="0.45">
      <c r="A3" s="7">
        <f>Orders!B3</f>
        <v>103</v>
      </c>
      <c r="B3" s="7">
        <f>VLOOKUP(A3,Products!A:C,3,FALSE)</f>
        <v>200</v>
      </c>
      <c r="C3" s="7">
        <f t="shared" si="0"/>
        <v>180</v>
      </c>
      <c r="D3" s="1"/>
    </row>
    <row r="4" spans="1:4" ht="20.5" x14ac:dyDescent="0.45">
      <c r="A4" s="7">
        <f>Orders!B4</f>
        <v>105</v>
      </c>
      <c r="B4" s="7">
        <f>VLOOKUP(A4,Products!A:C,3,FALSE)</f>
        <v>220</v>
      </c>
      <c r="C4" s="7">
        <f t="shared" si="0"/>
        <v>198</v>
      </c>
      <c r="D4" s="1"/>
    </row>
    <row r="5" spans="1:4" ht="20.5" x14ac:dyDescent="0.45">
      <c r="A5" s="7">
        <f>Orders!B5</f>
        <v>106</v>
      </c>
      <c r="B5" s="7">
        <f>VLOOKUP(A5,Products!A:C,3,FALSE)</f>
        <v>130</v>
      </c>
      <c r="C5" s="7">
        <f t="shared" si="0"/>
        <v>117</v>
      </c>
      <c r="D5" s="1"/>
    </row>
    <row r="6" spans="1:4" ht="20.5" x14ac:dyDescent="0.45">
      <c r="A6" s="7">
        <f>Orders!B6</f>
        <v>102</v>
      </c>
      <c r="B6" s="7">
        <f>VLOOKUP(A6,Products!A:C,3,FALSE)</f>
        <v>150</v>
      </c>
      <c r="C6" s="7">
        <f t="shared" si="0"/>
        <v>135</v>
      </c>
      <c r="D6" s="1"/>
    </row>
    <row r="7" spans="1:4" ht="20.5" x14ac:dyDescent="0.45">
      <c r="A7" s="7">
        <f>Orders!B7</f>
        <v>104</v>
      </c>
      <c r="B7" s="7">
        <f>VLOOKUP(A7,Products!A:C,3,FALSE)</f>
        <v>90</v>
      </c>
      <c r="C7" s="7">
        <f t="shared" si="0"/>
        <v>81</v>
      </c>
      <c r="D7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>
      <selection activeCell="B6" sqref="B6"/>
    </sheetView>
  </sheetViews>
  <sheetFormatPr defaultRowHeight="14.5" x14ac:dyDescent="0.35"/>
  <cols>
    <col min="1" max="1" width="24.453125" customWidth="1"/>
    <col min="2" max="2" width="23.26953125" customWidth="1"/>
  </cols>
  <sheetData>
    <row r="1" spans="1:2" ht="20" x14ac:dyDescent="0.4">
      <c r="A1" s="2" t="s">
        <v>0</v>
      </c>
      <c r="B1" s="2" t="s">
        <v>15</v>
      </c>
    </row>
    <row r="2" spans="1:2" ht="20.5" x14ac:dyDescent="0.45">
      <c r="A2" s="13">
        <f>Orders!B2</f>
        <v>101</v>
      </c>
      <c r="B2" s="13">
        <f>Orders!C2*VLOOKUP(A2,Products!A:C,3,FALSE)</f>
        <v>240</v>
      </c>
    </row>
    <row r="3" spans="1:2" ht="20.5" x14ac:dyDescent="0.45">
      <c r="A3" s="13">
        <f>Orders!B3</f>
        <v>103</v>
      </c>
      <c r="B3" s="13">
        <f>Orders!C3*VLOOKUP(A3,Products!A:C,3,FALSE)</f>
        <v>200</v>
      </c>
    </row>
    <row r="4" spans="1:2" ht="20.5" x14ac:dyDescent="0.45">
      <c r="A4" s="13">
        <f>Orders!B4</f>
        <v>105</v>
      </c>
      <c r="B4" s="13">
        <f>Orders!C4*VLOOKUP(A4,Products!A:C,3,FALSE)</f>
        <v>880</v>
      </c>
    </row>
    <row r="5" spans="1:2" ht="20.5" x14ac:dyDescent="0.45">
      <c r="A5" s="13">
        <f>Orders!B5</f>
        <v>106</v>
      </c>
      <c r="B5" s="13">
        <f>Orders!C5*VLOOKUP(A5,Products!A:C,3,FALSE)</f>
        <v>390</v>
      </c>
    </row>
    <row r="6" spans="1:2" ht="20.5" x14ac:dyDescent="0.45">
      <c r="A6" s="13">
        <f>Orders!B6</f>
        <v>102</v>
      </c>
      <c r="B6" s="13">
        <f>Orders!C6*VLOOKUP(A6,Products!A:C,3,FALSE)</f>
        <v>750</v>
      </c>
    </row>
    <row r="7" spans="1:2" ht="20.5" x14ac:dyDescent="0.45">
      <c r="A7" s="13">
        <f>Orders!B7</f>
        <v>104</v>
      </c>
      <c r="B7" s="13">
        <f>Orders!C7*VLOOKUP(A7,Products!A:C,3,FALSE)</f>
        <v>540</v>
      </c>
    </row>
    <row r="8" spans="1:2" ht="20.5" x14ac:dyDescent="0.45">
      <c r="A8" s="13" t="s">
        <v>16</v>
      </c>
      <c r="B8" s="13">
        <f>MAX(B2:B7)</f>
        <v>880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selection activeCell="B3" sqref="B3"/>
    </sheetView>
  </sheetViews>
  <sheetFormatPr defaultRowHeight="14.5" x14ac:dyDescent="0.35"/>
  <cols>
    <col min="1" max="1" width="15.26953125" customWidth="1"/>
    <col min="2" max="2" width="21.36328125" customWidth="1"/>
  </cols>
  <sheetData>
    <row r="1" spans="1:2" ht="20" x14ac:dyDescent="0.4">
      <c r="A1" s="14" t="s">
        <v>0</v>
      </c>
      <c r="B1" s="14" t="s">
        <v>12</v>
      </c>
    </row>
    <row r="2" spans="1:2" ht="20.5" x14ac:dyDescent="0.45">
      <c r="A2" s="9">
        <f>Products!A2</f>
        <v>101</v>
      </c>
      <c r="B2" s="9" t="str">
        <f>IF(ISNA(VLOOKUP(A2,Orders!B:B,1,FALSE)),"Not Ordered","Ordered")</f>
        <v>Ordered</v>
      </c>
    </row>
    <row r="3" spans="1:2" ht="20.5" x14ac:dyDescent="0.45">
      <c r="A3" s="9">
        <f>Products!A3</f>
        <v>102</v>
      </c>
      <c r="B3" s="9" t="str">
        <f>IF(ISNA(VLOOKUP(A3,Orders!B:B,1,FALSE)),"Not Ordered","Ordered")</f>
        <v>Ordered</v>
      </c>
    </row>
    <row r="4" spans="1:2" ht="20.5" x14ac:dyDescent="0.45">
      <c r="A4" s="9">
        <f>Products!A4</f>
        <v>103</v>
      </c>
      <c r="B4" s="9" t="str">
        <f>IF(ISNA(VLOOKUP(A4,Orders!B:B,1,FALSE)),"Not Ordered","Ordered")</f>
        <v>Ordered</v>
      </c>
    </row>
    <row r="5" spans="1:2" ht="20.5" x14ac:dyDescent="0.45">
      <c r="A5" s="9">
        <f>Products!A5</f>
        <v>104</v>
      </c>
      <c r="B5" s="9" t="str">
        <f>IF(ISNA(VLOOKUP(A5,Orders!B:B,1,FALSE)),"Not Ordered","Ordered")</f>
        <v>Ordered</v>
      </c>
    </row>
    <row r="6" spans="1:2" ht="20.5" x14ac:dyDescent="0.45">
      <c r="A6" s="9">
        <f>Products!A6</f>
        <v>105</v>
      </c>
      <c r="B6" s="9" t="str">
        <f>IF(ISNA(VLOOKUP(A6,Orders!B:B,1,FALSE)),"Not Ordered","Ordered")</f>
        <v>Ordered</v>
      </c>
    </row>
    <row r="7" spans="1:2" ht="20.5" x14ac:dyDescent="0.45">
      <c r="A7" s="9">
        <f>Products!A7</f>
        <v>106</v>
      </c>
      <c r="B7" s="9" t="str">
        <f>IF(ISNA(VLOOKUP(A7,Orders!B:B,1,FALSE)),"Not Ordered","Ordered")</f>
        <v>Ordered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>
      <selection activeCell="C3" sqref="C3"/>
    </sheetView>
  </sheetViews>
  <sheetFormatPr defaultRowHeight="14.5" x14ac:dyDescent="0.35"/>
  <cols>
    <col min="1" max="1" width="16.54296875" customWidth="1"/>
    <col min="2" max="2" width="20.54296875" customWidth="1"/>
    <col min="3" max="3" width="23.1796875" customWidth="1"/>
    <col min="4" max="4" width="18.26953125" customWidth="1"/>
  </cols>
  <sheetData>
    <row r="1" spans="1:4" ht="20.5" x14ac:dyDescent="0.45">
      <c r="A1" s="15" t="s">
        <v>0</v>
      </c>
      <c r="B1" s="15" t="s">
        <v>1</v>
      </c>
      <c r="C1" s="15" t="s">
        <v>17</v>
      </c>
      <c r="D1" s="1"/>
    </row>
    <row r="2" spans="1:4" ht="20.5" x14ac:dyDescent="0.45">
      <c r="A2" s="13">
        <f>Products!A2</f>
        <v>101</v>
      </c>
      <c r="B2" s="13" t="str">
        <f>Products!B2</f>
        <v>Product A</v>
      </c>
      <c r="C2" s="13">
        <f>SUMIF(Orders!B:B,A2,Orders!C:C)</f>
        <v>2</v>
      </c>
      <c r="D2" s="1"/>
    </row>
    <row r="3" spans="1:4" ht="20.5" x14ac:dyDescent="0.45">
      <c r="A3" s="13">
        <f>Products!A3</f>
        <v>102</v>
      </c>
      <c r="B3" s="13" t="str">
        <f>Products!B3</f>
        <v>Product B</v>
      </c>
      <c r="C3" s="13">
        <f>SUMIF(Orders!B:B,A3,Orders!C:C)</f>
        <v>5</v>
      </c>
      <c r="D3" s="1"/>
    </row>
    <row r="4" spans="1:4" ht="20.5" x14ac:dyDescent="0.45">
      <c r="A4" s="13">
        <f>Products!A4</f>
        <v>103</v>
      </c>
      <c r="B4" s="13" t="str">
        <f>Products!B4</f>
        <v>Product C</v>
      </c>
      <c r="C4" s="13">
        <f>SUMIF(Orders!B:B,A4,Orders!C:C)</f>
        <v>1</v>
      </c>
      <c r="D4" s="1"/>
    </row>
    <row r="5" spans="1:4" ht="20.5" x14ac:dyDescent="0.45">
      <c r="A5" s="13">
        <f>Products!A5</f>
        <v>104</v>
      </c>
      <c r="B5" s="13" t="str">
        <f>Products!B5</f>
        <v>Product D</v>
      </c>
      <c r="C5" s="13">
        <f>SUMIF(Orders!B:B,A5,Orders!C:C)</f>
        <v>6</v>
      </c>
      <c r="D5" s="1"/>
    </row>
    <row r="6" spans="1:4" ht="20.5" x14ac:dyDescent="0.45">
      <c r="A6" s="13">
        <f>Products!A6</f>
        <v>105</v>
      </c>
      <c r="B6" s="13" t="str">
        <f>Products!B6</f>
        <v>Product E</v>
      </c>
      <c r="C6" s="13">
        <f>SUMIF(Orders!B:B,A6,Orders!C:C)</f>
        <v>4</v>
      </c>
      <c r="D6" s="1"/>
    </row>
    <row r="7" spans="1:4" ht="20.5" x14ac:dyDescent="0.45">
      <c r="A7" s="13">
        <f>Products!A7</f>
        <v>106</v>
      </c>
      <c r="B7" s="13" t="str">
        <f>Products!B7</f>
        <v>Product F</v>
      </c>
      <c r="C7" s="13">
        <f>SUMIF(Orders!B:B,A7,Orders!C:C)</f>
        <v>3</v>
      </c>
      <c r="D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Products</vt:lpstr>
      <vt:lpstr>Orders</vt:lpstr>
      <vt:lpstr>Q1_ProductName</vt:lpstr>
      <vt:lpstr>Q2_TotalPrice</vt:lpstr>
      <vt:lpstr>Q3_CheckID</vt:lpstr>
      <vt:lpstr>Q4_Discount</vt:lpstr>
      <vt:lpstr>Q5_MaxOrder</vt:lpstr>
      <vt:lpstr>Q6_NotOrdered</vt:lpstr>
      <vt:lpstr>Q7_TotalQty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Sandhya Kumari Yavvari</cp:lastModifiedBy>
  <dcterms:created xsi:type="dcterms:W3CDTF">2025-12-19T12:02:30Z</dcterms:created>
  <dcterms:modified xsi:type="dcterms:W3CDTF">2025-12-29T16:24:38Z</dcterms:modified>
</cp:coreProperties>
</file>